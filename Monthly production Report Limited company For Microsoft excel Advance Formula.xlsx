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590D5FB-657B-4712-804D-CA99C30C0E7C}" xr6:coauthVersionLast="36" xr6:coauthVersionMax="36" xr10:uidLastSave="{00000000-0000-0000-0000-000000000000}"/>
  <bookViews>
    <workbookView xWindow="0" yWindow="0" windowWidth="20490" windowHeight="7545" xr2:uid="{686B9C55-75B1-4359-8D05-F7B96A9176BF}"/>
  </bookViews>
  <sheets>
    <sheet name="Sheet1" sheetId="1" r:id="rId1"/>
    <sheet name="month" sheetId="2" r:id="rId2"/>
  </sheets>
  <definedNames>
    <definedName name="Months">month!$A$2:$B$13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" i="1" l="1"/>
  <c r="AG4" i="1"/>
  <c r="AI4" i="1" s="1"/>
  <c r="AK7" i="1"/>
  <c r="AK11" i="1"/>
  <c r="AJ5" i="1"/>
  <c r="AK5" i="1" s="1"/>
  <c r="AJ6" i="1"/>
  <c r="AK6" i="1" s="1"/>
  <c r="AJ7" i="1"/>
  <c r="AJ8" i="1"/>
  <c r="AK8" i="1" s="1"/>
  <c r="AJ9" i="1"/>
  <c r="AK9" i="1" s="1"/>
  <c r="AJ10" i="1"/>
  <c r="AK10" i="1" s="1"/>
  <c r="AJ11" i="1"/>
  <c r="AH12" i="1"/>
  <c r="AG5" i="1"/>
  <c r="AI5" i="1" s="1"/>
  <c r="AG6" i="1"/>
  <c r="AI6" i="1" s="1"/>
  <c r="AG7" i="1"/>
  <c r="AI7" i="1" s="1"/>
  <c r="AG8" i="1"/>
  <c r="AI8" i="1" s="1"/>
  <c r="AG9" i="1"/>
  <c r="AI9" i="1" s="1"/>
  <c r="AG10" i="1"/>
  <c r="AI10" i="1" s="1"/>
  <c r="AG11" i="1"/>
  <c r="AI11" i="1" s="1"/>
  <c r="Q1" i="1"/>
  <c r="X1" i="1" s="1"/>
  <c r="AJ12" i="1" l="1"/>
  <c r="AK4" i="1"/>
  <c r="B3" i="1"/>
  <c r="B2" i="1" s="1"/>
  <c r="AI12" i="1"/>
  <c r="AG12" i="1"/>
  <c r="C3" i="1" l="1"/>
  <c r="C2" i="1" s="1"/>
  <c r="D3" i="1" l="1"/>
  <c r="D2" i="1" s="1"/>
  <c r="E3" i="1" l="1"/>
  <c r="E2" i="1" s="1"/>
  <c r="F3" i="1" l="1"/>
  <c r="F2" i="1" s="1"/>
  <c r="G3" i="1" l="1"/>
  <c r="G2" i="1" s="1"/>
  <c r="H3" i="1" l="1"/>
  <c r="H2" i="1" s="1"/>
  <c r="I3" i="1" l="1"/>
  <c r="I2" i="1" s="1"/>
  <c r="J3" i="1" l="1"/>
  <c r="J2" i="1" s="1"/>
  <c r="K3" i="1" l="1"/>
  <c r="K2" i="1" s="1"/>
  <c r="L3" i="1" l="1"/>
  <c r="L2" i="1" s="1"/>
  <c r="M3" i="1" l="1"/>
  <c r="M2" i="1" s="1"/>
  <c r="N3" i="1" l="1"/>
  <c r="N2" i="1" s="1"/>
  <c r="O3" i="1" l="1"/>
  <c r="O2" i="1" s="1"/>
  <c r="P3" i="1" l="1"/>
  <c r="P2" i="1" s="1"/>
  <c r="Q3" i="1" l="1"/>
  <c r="Q2" i="1" s="1"/>
  <c r="R3" i="1" l="1"/>
  <c r="R2" i="1" s="1"/>
  <c r="S3" i="1" l="1"/>
  <c r="S2" i="1" s="1"/>
  <c r="T3" i="1" l="1"/>
  <c r="T2" i="1" s="1"/>
  <c r="U3" i="1" l="1"/>
  <c r="U2" i="1" s="1"/>
  <c r="V3" i="1" l="1"/>
  <c r="V2" i="1" s="1"/>
  <c r="W3" i="1" l="1"/>
  <c r="W2" i="1" s="1"/>
  <c r="X3" i="1" l="1"/>
  <c r="X2" i="1" s="1"/>
  <c r="Y3" i="1" l="1"/>
  <c r="Y2" i="1" s="1"/>
  <c r="Z3" i="1" l="1"/>
  <c r="Z2" i="1" s="1"/>
  <c r="AA3" i="1" l="1"/>
  <c r="AA2" i="1" s="1"/>
  <c r="AB3" i="1" l="1"/>
  <c r="AB2" i="1" s="1"/>
  <c r="AC3" i="1" l="1"/>
  <c r="AC2" i="1" s="1"/>
  <c r="AD3" i="1" l="1"/>
  <c r="AD2" i="1" s="1"/>
  <c r="AE3" i="1" l="1"/>
  <c r="AE2" i="1" s="1"/>
  <c r="AF3" i="1" l="1"/>
  <c r="AF2" i="1" s="1"/>
</calcChain>
</file>

<file path=xl/sharedStrings.xml><?xml version="1.0" encoding="utf-8"?>
<sst xmlns="http://schemas.openxmlformats.org/spreadsheetml/2006/main" count="31" uniqueCount="30">
  <si>
    <t>Monthly Production Report</t>
  </si>
  <si>
    <t>To</t>
  </si>
  <si>
    <t>Mothys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</si>
  <si>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</si>
  <si>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</si>
  <si>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</si>
  <si>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</si>
  <si>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</si>
  <si>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</si>
  <si>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</si>
  <si>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</si>
  <si>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</si>
  <si>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</si>
  <si>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</si>
  <si>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</si>
  <si>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Complet</t>
  </si>
  <si>
    <t>Department</t>
  </si>
  <si>
    <t>Bike Tyre</t>
  </si>
  <si>
    <t>Care Tyre</t>
  </si>
  <si>
    <t>Bike Tube</t>
  </si>
  <si>
    <t>Care Tube</t>
  </si>
  <si>
    <t>Cycle Tyre</t>
  </si>
  <si>
    <t>Cycle Tube</t>
  </si>
  <si>
    <t>Packing</t>
  </si>
  <si>
    <t>Dispatch</t>
  </si>
  <si>
    <t>Total Sales and Order by Month</t>
  </si>
  <si>
    <t>Pending Orders</t>
  </si>
  <si>
    <t>Total Orders</t>
  </si>
  <si>
    <t>Zero Days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</si>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</sst>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"/>
    <numFmt numFmtId="169" formatCode="d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/>
    <xf numFmtId="0" fontId="1" fillId="2" borderId="1" xfId="0" applyFont="1" applyFill="1" applyBorder="1"/>
    <xf numFmtId="169" fontId="1" fillId="2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66" fontId="0" fillId="3" borderId="1" xfId="0" applyNumberFormat="1" applyFill="1" applyBorder="1"/>
    <xf numFmtId="14" fontId="2" fillId="3" borderId="2" xfId="0" applyNumberFormat="1" applyFont="1" applyFill="1" applyBorder="1" applyAlignment="1">
      <alignment horizontal="center"/>
    </xf>
    <xf numFmtId="14" fontId="2" fillId="3" borderId="3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4" xfId="0" applyFont="1" applyFill="1" applyBorder="1"/>
    <xf numFmtId="0" fontId="0" fillId="3" borderId="4" xfId="0" applyFill="1" applyBorder="1"/>
    <xf numFmtId="166" fontId="0" fillId="3" borderId="4" xfId="0" applyNumberFormat="1" applyFill="1" applyBorder="1"/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4E825-0864-4629-A305-C05FE328DD4C}">
  <dimension ref="A1:AK12"/>
  <sheetViews>
    <sheetView tabSelected="1" zoomScale="90" zoomScaleNormal="90" workbookViewId="0">
      <selection activeCell="AH14" sqref="AH14"/>
    </sheetView>
  </sheetViews>
  <sheetFormatPr defaultRowHeight="15" x14ac:dyDescent="0.25"/>
  <cols>
    <col min="1" max="1" width="11.7109375" bestFit="1" customWidth="1"/>
    <col min="2" max="2" width="4.28515625" bestFit="1" customWidth="1"/>
    <col min="3" max="3" width="3.28515625" bestFit="1" customWidth="1"/>
    <col min="4" max="4" width="3.7109375" bestFit="1" customWidth="1"/>
    <col min="5" max="5" width="4.28515625" bestFit="1" customWidth="1"/>
    <col min="6" max="6" width="5.140625" bestFit="1" customWidth="1"/>
    <col min="7" max="7" width="4.28515625" bestFit="1" customWidth="1"/>
    <col min="8" max="8" width="5.28515625" bestFit="1" customWidth="1"/>
    <col min="9" max="9" width="4.28515625" bestFit="1" customWidth="1"/>
    <col min="10" max="10" width="3.28515625" bestFit="1" customWidth="1"/>
    <col min="11" max="11" width="3.7109375" bestFit="1" customWidth="1"/>
    <col min="12" max="12" width="4.28515625" bestFit="1" customWidth="1"/>
    <col min="13" max="13" width="5.140625" bestFit="1" customWidth="1"/>
    <col min="14" max="14" width="4.28515625" bestFit="1" customWidth="1"/>
    <col min="15" max="15" width="5.28515625" bestFit="1" customWidth="1"/>
    <col min="16" max="16" width="4.28515625" bestFit="1" customWidth="1"/>
    <col min="17" max="17" width="3.28515625" bestFit="1" customWidth="1"/>
    <col min="18" max="18" width="3.7109375" bestFit="1" customWidth="1"/>
    <col min="19" max="19" width="4.28515625" bestFit="1" customWidth="1"/>
    <col min="20" max="20" width="5.140625" bestFit="1" customWidth="1"/>
    <col min="21" max="21" width="4.28515625" bestFit="1" customWidth="1"/>
    <col min="22" max="22" width="5.28515625" bestFit="1" customWidth="1"/>
    <col min="23" max="23" width="4.28515625" bestFit="1" customWidth="1"/>
    <col min="24" max="24" width="3.28515625" bestFit="1" customWidth="1"/>
    <col min="25" max="25" width="3.7109375" bestFit="1" customWidth="1"/>
    <col min="26" max="26" width="4.28515625" bestFit="1" customWidth="1"/>
    <col min="27" max="27" width="5.140625" bestFit="1" customWidth="1"/>
    <col min="28" max="28" width="4.28515625" bestFit="1" customWidth="1"/>
    <col min="29" max="29" width="5.28515625" bestFit="1" customWidth="1"/>
    <col min="30" max="30" width="4.28515625" bestFit="1" customWidth="1"/>
    <col min="31" max="31" width="3.28515625" bestFit="1" customWidth="1"/>
    <col min="32" max="32" width="3.7109375" bestFit="1" customWidth="1"/>
    <col min="33" max="33" width="8.5703125" bestFit="1" customWidth="1"/>
    <col min="34" max="34" width="14.85546875" bestFit="1" customWidth="1"/>
    <col min="35" max="35" width="11.85546875" bestFit="1" customWidth="1"/>
    <col min="36" max="36" width="9.5703125" bestFit="1" customWidth="1"/>
    <col min="37" max="37" width="10.7109375" bestFit="1" customWidth="1"/>
  </cols>
  <sheetData>
    <row r="1" spans="1:37" ht="23.25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 t="s">
        <v>3</v>
      </c>
      <c r="N1" s="4"/>
      <c r="O1" s="4"/>
      <c r="P1" s="4"/>
      <c r="Q1" s="7">
        <f>DATEVALUE("1" &amp;M1)</f>
        <v>46023</v>
      </c>
      <c r="R1" s="7"/>
      <c r="S1" s="7"/>
      <c r="T1" s="7"/>
      <c r="U1" s="8"/>
      <c r="V1" s="4" t="s">
        <v>1</v>
      </c>
      <c r="W1" s="4"/>
      <c r="X1" s="5">
        <f>EOMONTH(Q1,0)</f>
        <v>46053</v>
      </c>
      <c r="Y1" s="5"/>
      <c r="Z1" s="5"/>
      <c r="AA1" s="5"/>
      <c r="AB1" s="5"/>
      <c r="AC1" s="5"/>
      <c r="AD1" s="5"/>
      <c r="AE1" s="5"/>
      <c r="AF1" s="5"/>
      <c r="AG1" s="9" t="s">
        <v>15</v>
      </c>
      <c r="AH1" s="10" t="s">
        <v>26</v>
      </c>
      <c r="AI1" s="10" t="s">
        <v>27</v>
      </c>
      <c r="AJ1" s="10" t="s">
        <v>28</v>
      </c>
      <c r="AK1" s="9" t="s">
        <v>29</v>
      </c>
    </row>
    <row r="2" spans="1:37" x14ac:dyDescent="0.25">
      <c r="A2" s="2"/>
      <c r="B2" s="3" t="str">
        <f>IF(B3="","",TEXT($Q$1+B3-1,"ddd"))</f>
        <v>Thu</v>
      </c>
      <c r="C2" s="3" t="str">
        <f>IF(C3="","",TEXT($Q$1+C3-1,"ddd"))</f>
        <v>Fri</v>
      </c>
      <c r="D2" s="3" t="str">
        <f>IF(D3="","",TEXT($Q$1+D3-1,"ddd"))</f>
        <v>Sat</v>
      </c>
      <c r="E2" s="3" t="str">
        <f>IF(E3="","",TEXT($Q$1+E3-1,"ddd"))</f>
        <v>Sun</v>
      </c>
      <c r="F2" s="3" t="str">
        <f>IF(F3="","",TEXT($Q$1+F3-1,"ddd"))</f>
        <v>Mon</v>
      </c>
      <c r="G2" s="3" t="str">
        <f>IF(G3="","",TEXT($Q$1+G3-1,"ddd"))</f>
        <v>Tue</v>
      </c>
      <c r="H2" s="3" t="str">
        <f>IF(H3="","",TEXT($Q$1+H3-1,"ddd"))</f>
        <v>Wed</v>
      </c>
      <c r="I2" s="3" t="str">
        <f>IF(I3="","",TEXT($Q$1+I3-1,"ddd"))</f>
        <v>Thu</v>
      </c>
      <c r="J2" s="3" t="str">
        <f>IF(J3="","",TEXT($Q$1+J3-1,"ddd"))</f>
        <v>Fri</v>
      </c>
      <c r="K2" s="3" t="str">
        <f>IF(K3="","",TEXT($Q$1+K3-1,"ddd"))</f>
        <v>Sat</v>
      </c>
      <c r="L2" s="3" t="str">
        <f>IF(L3="","",TEXT($Q$1+L3-1,"ddd"))</f>
        <v>Sun</v>
      </c>
      <c r="M2" s="3" t="str">
        <f>IF(M3="","",TEXT($Q$1+M3-1,"ddd"))</f>
        <v>Mon</v>
      </c>
      <c r="N2" s="3" t="str">
        <f>IF(N3="","",TEXT($Q$1+N3-1,"ddd"))</f>
        <v>Tue</v>
      </c>
      <c r="O2" s="3" t="str">
        <f>IF(O3="","",TEXT($Q$1+O3-1,"ddd"))</f>
        <v>Wed</v>
      </c>
      <c r="P2" s="3" t="str">
        <f>IF(P3="","",TEXT($Q$1+P3-1,"ddd"))</f>
        <v>Thu</v>
      </c>
      <c r="Q2" s="3" t="str">
        <f>IF(Q3="","",TEXT($Q$1+Q3-1,"ddd"))</f>
        <v>Fri</v>
      </c>
      <c r="R2" s="3" t="str">
        <f>IF(R3="","",TEXT($Q$1+R3-1,"ddd"))</f>
        <v>Sat</v>
      </c>
      <c r="S2" s="3" t="str">
        <f>IF(S3="","",TEXT($Q$1+S3-1,"ddd"))</f>
        <v>Sun</v>
      </c>
      <c r="T2" s="3" t="str">
        <f>IF(T3="","",TEXT($Q$1+T3-1,"ddd"))</f>
        <v>Mon</v>
      </c>
      <c r="U2" s="3" t="str">
        <f>IF(U3="","",TEXT($Q$1+U3-1,"ddd"))</f>
        <v>Tue</v>
      </c>
      <c r="V2" s="3" t="str">
        <f>IF(V3="","",TEXT($Q$1+V3-1,"ddd"))</f>
        <v>Wed</v>
      </c>
      <c r="W2" s="3" t="str">
        <f>IF(W3="","",TEXT($Q$1+W3-1,"ddd"))</f>
        <v>Thu</v>
      </c>
      <c r="X2" s="3" t="str">
        <f>IF(X3="","",TEXT($Q$1+X3-1,"ddd"))</f>
        <v>Fri</v>
      </c>
      <c r="Y2" s="3" t="str">
        <f>IF(Y3="","",TEXT($Q$1+Y3-1,"ddd"))</f>
        <v>Sat</v>
      </c>
      <c r="Z2" s="3" t="str">
        <f>IF(Z3="","",TEXT($Q$1+Z3-1,"ddd"))</f>
        <v>Sun</v>
      </c>
      <c r="AA2" s="3" t="str">
        <f>IF(AA3="","",TEXT($Q$1+AA3-1,"ddd"))</f>
        <v>Mon</v>
      </c>
      <c r="AB2" s="3" t="str">
        <f>IF(AB3="","",TEXT($Q$1+AB3-1,"ddd"))</f>
        <v>Tue</v>
      </c>
      <c r="AC2" s="3" t="str">
        <f>IF(AC3="","",TEXT($Q$1+AC3-1,"ddd"))</f>
        <v>Wed</v>
      </c>
      <c r="AD2" s="3" t="str">
        <f>IF(AD3="","",TEXT($Q$1+AD3-1,"ddd"))</f>
        <v>Thu</v>
      </c>
      <c r="AE2" s="3" t="str">
        <f>IF(AE3="","",TEXT($Q$1+AE3-1,"ddd"))</f>
        <v>Fri</v>
      </c>
      <c r="AF2" s="3" t="str">
        <f>IF(AF3="","",TEXT($Q$1+AF3-1,"ddd"))</f>
        <v>Sat</v>
      </c>
      <c r="AG2" s="9"/>
      <c r="AH2" s="10"/>
      <c r="AI2" s="10"/>
      <c r="AJ2" s="10"/>
      <c r="AK2" s="9"/>
    </row>
    <row r="3" spans="1:37" x14ac:dyDescent="0.25">
      <c r="A3" s="11" t="s">
        <v>16</v>
      </c>
      <c r="B3" s="12">
        <f>DAY($Q$1)</f>
        <v>1</v>
      </c>
      <c r="C3" s="13">
        <f>IF(B3="","",IF(B3+1&gt;DAY($X$1),"",B3+1))</f>
        <v>2</v>
      </c>
      <c r="D3" s="13">
        <f t="shared" ref="D3:AF3" si="0">IF(C3="","",IF(C3+1&gt;DAY($X$1),"",C3+1))</f>
        <v>3</v>
      </c>
      <c r="E3" s="13">
        <f t="shared" si="0"/>
        <v>4</v>
      </c>
      <c r="F3" s="13">
        <f t="shared" si="0"/>
        <v>5</v>
      </c>
      <c r="G3" s="13">
        <f t="shared" si="0"/>
        <v>6</v>
      </c>
      <c r="H3" s="13">
        <f t="shared" si="0"/>
        <v>7</v>
      </c>
      <c r="I3" s="13">
        <f t="shared" si="0"/>
        <v>8</v>
      </c>
      <c r="J3" s="13">
        <f t="shared" si="0"/>
        <v>9</v>
      </c>
      <c r="K3" s="13">
        <f t="shared" si="0"/>
        <v>10</v>
      </c>
      <c r="L3" s="13">
        <f t="shared" si="0"/>
        <v>11</v>
      </c>
      <c r="M3" s="13">
        <f t="shared" si="0"/>
        <v>12</v>
      </c>
      <c r="N3" s="13">
        <f t="shared" si="0"/>
        <v>13</v>
      </c>
      <c r="O3" s="13">
        <f t="shared" si="0"/>
        <v>14</v>
      </c>
      <c r="P3" s="13">
        <f t="shared" si="0"/>
        <v>15</v>
      </c>
      <c r="Q3" s="13">
        <f t="shared" si="0"/>
        <v>16</v>
      </c>
      <c r="R3" s="13">
        <f t="shared" si="0"/>
        <v>17</v>
      </c>
      <c r="S3" s="6">
        <f t="shared" si="0"/>
        <v>18</v>
      </c>
      <c r="T3" s="13">
        <f t="shared" si="0"/>
        <v>19</v>
      </c>
      <c r="U3" s="13">
        <f t="shared" si="0"/>
        <v>20</v>
      </c>
      <c r="V3" s="13">
        <f t="shared" si="0"/>
        <v>21</v>
      </c>
      <c r="W3" s="13">
        <f t="shared" si="0"/>
        <v>22</v>
      </c>
      <c r="X3" s="13">
        <f t="shared" si="0"/>
        <v>23</v>
      </c>
      <c r="Y3" s="6">
        <f t="shared" si="0"/>
        <v>24</v>
      </c>
      <c r="Z3" s="13">
        <f t="shared" si="0"/>
        <v>25</v>
      </c>
      <c r="AA3" s="13">
        <f t="shared" si="0"/>
        <v>26</v>
      </c>
      <c r="AB3" s="13">
        <f t="shared" si="0"/>
        <v>27</v>
      </c>
      <c r="AC3" s="13">
        <f t="shared" si="0"/>
        <v>28</v>
      </c>
      <c r="AD3" s="13">
        <f t="shared" si="0"/>
        <v>29</v>
      </c>
      <c r="AE3" s="13">
        <f t="shared" si="0"/>
        <v>30</v>
      </c>
      <c r="AF3" s="13">
        <f t="shared" si="0"/>
        <v>31</v>
      </c>
      <c r="AG3" s="14"/>
      <c r="AH3" s="15"/>
      <c r="AI3" s="10"/>
      <c r="AJ3" s="10"/>
      <c r="AK3" s="9"/>
    </row>
    <row r="4" spans="1:37" ht="30" x14ac:dyDescent="0.25">
      <c r="A4" s="16" t="s">
        <v>17</v>
      </c>
      <c r="B4" s="17">
        <v>65</v>
      </c>
      <c r="C4" s="17">
        <v>6</v>
      </c>
      <c r="D4" s="17"/>
      <c r="E4" s="17"/>
      <c r="F4" s="17">
        <v>44</v>
      </c>
      <c r="G4" s="17">
        <v>76</v>
      </c>
      <c r="H4" s="17">
        <v>76</v>
      </c>
      <c r="I4" s="17">
        <v>54</v>
      </c>
      <c r="J4" s="17">
        <v>34</v>
      </c>
      <c r="K4" s="17"/>
      <c r="L4" s="17"/>
      <c r="M4" s="17">
        <v>88</v>
      </c>
      <c r="N4" s="17">
        <v>5</v>
      </c>
      <c r="O4" s="17">
        <v>76</v>
      </c>
      <c r="P4" s="17">
        <v>54</v>
      </c>
      <c r="Q4" s="17">
        <v>55</v>
      </c>
      <c r="R4" s="17"/>
      <c r="S4" s="18"/>
      <c r="T4" s="17">
        <v>45</v>
      </c>
      <c r="U4" s="17">
        <v>9</v>
      </c>
      <c r="V4" s="17">
        <v>7</v>
      </c>
      <c r="W4" s="17">
        <v>5</v>
      </c>
      <c r="X4" s="17">
        <v>56</v>
      </c>
      <c r="Y4" s="18"/>
      <c r="AA4" s="23">
        <v>44</v>
      </c>
      <c r="AB4" s="23">
        <v>33</v>
      </c>
      <c r="AE4" s="17">
        <v>98</v>
      </c>
      <c r="AF4" s="22">
        <v>6</v>
      </c>
      <c r="AG4" s="17">
        <f>SUM(B4:AF4)</f>
        <v>936</v>
      </c>
      <c r="AH4" s="17">
        <v>11</v>
      </c>
      <c r="AI4" s="17">
        <f>AG4+AH4</f>
        <v>947</v>
      </c>
      <c r="AJ4" s="17">
        <f>COUNTIF(B4:AF4, "")</f>
        <v>10</v>
      </c>
      <c r="AK4" s="19" t="str">
        <f>IF(AJ4&gt;10, "Low Production", IF(AH4&gt;10,"High Pending", "OK"))</f>
        <v>High Pending</v>
      </c>
    </row>
    <row r="5" spans="1:37" ht="30" x14ac:dyDescent="0.25">
      <c r="A5" s="16" t="s">
        <v>18</v>
      </c>
      <c r="B5" s="17"/>
      <c r="C5" s="17">
        <v>7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>
        <v>5</v>
      </c>
      <c r="W5" s="17"/>
      <c r="X5" s="17"/>
      <c r="Y5" s="17"/>
      <c r="Z5" s="17"/>
      <c r="AA5" s="17">
        <v>90</v>
      </c>
      <c r="AB5" s="17">
        <v>5</v>
      </c>
      <c r="AC5" s="17">
        <v>77</v>
      </c>
      <c r="AD5" s="17">
        <v>7</v>
      </c>
      <c r="AE5" s="17"/>
      <c r="AF5" s="17"/>
      <c r="AG5" s="17">
        <f t="shared" ref="AG5:AG11" si="1">SUM(B5:AF5)</f>
        <v>191</v>
      </c>
      <c r="AH5" s="17">
        <v>8</v>
      </c>
      <c r="AI5" s="17">
        <f t="shared" ref="AI5:AI11" si="2">AG5+AH5</f>
        <v>199</v>
      </c>
      <c r="AJ5" s="17">
        <f t="shared" ref="AJ5:AJ11" si="3">COUNTIF(B5:AF5, "")</f>
        <v>25</v>
      </c>
      <c r="AK5" s="19" t="str">
        <f t="shared" ref="AK5:AK11" si="4">IF(AJ5&gt;10, "Low Production", IF(AH5&gt;10,"High Pending", "OK"))</f>
        <v>Low Production</v>
      </c>
    </row>
    <row r="6" spans="1:37" ht="30" x14ac:dyDescent="0.25">
      <c r="A6" s="16" t="s">
        <v>19</v>
      </c>
      <c r="B6" s="17"/>
      <c r="C6" s="17">
        <v>8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>
        <v>5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>
        <f t="shared" si="1"/>
        <v>13</v>
      </c>
      <c r="AH6" s="17"/>
      <c r="AI6" s="17">
        <f t="shared" si="2"/>
        <v>13</v>
      </c>
      <c r="AJ6" s="17">
        <f t="shared" si="3"/>
        <v>29</v>
      </c>
      <c r="AK6" s="19" t="str">
        <f t="shared" si="4"/>
        <v>Low Production</v>
      </c>
    </row>
    <row r="7" spans="1:37" ht="30" x14ac:dyDescent="0.25">
      <c r="A7" s="16" t="s">
        <v>20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>
        <f t="shared" si="1"/>
        <v>0</v>
      </c>
      <c r="AH7" s="17">
        <v>7</v>
      </c>
      <c r="AI7" s="17">
        <f t="shared" si="2"/>
        <v>7</v>
      </c>
      <c r="AJ7" s="17">
        <f t="shared" si="3"/>
        <v>31</v>
      </c>
      <c r="AK7" s="19" t="str">
        <f t="shared" si="4"/>
        <v>Low Production</v>
      </c>
    </row>
    <row r="8" spans="1:37" ht="30" x14ac:dyDescent="0.25">
      <c r="A8" s="16" t="s">
        <v>21</v>
      </c>
      <c r="B8" s="17"/>
      <c r="C8" s="17">
        <v>9</v>
      </c>
      <c r="D8" s="17"/>
      <c r="E8" s="17"/>
      <c r="F8" s="17"/>
      <c r="G8" s="17">
        <v>6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>
        <f t="shared" si="1"/>
        <v>15</v>
      </c>
      <c r="AH8" s="17">
        <v>5</v>
      </c>
      <c r="AI8" s="17">
        <f t="shared" si="2"/>
        <v>20</v>
      </c>
      <c r="AJ8" s="17">
        <f t="shared" si="3"/>
        <v>29</v>
      </c>
      <c r="AK8" s="19" t="str">
        <f t="shared" si="4"/>
        <v>Low Production</v>
      </c>
    </row>
    <row r="9" spans="1:37" ht="30" x14ac:dyDescent="0.25">
      <c r="A9" s="16" t="s">
        <v>22</v>
      </c>
      <c r="B9" s="17"/>
      <c r="C9" s="17"/>
      <c r="D9" s="17"/>
      <c r="E9" s="17"/>
      <c r="F9" s="17"/>
      <c r="G9" s="17">
        <v>7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>
        <f t="shared" si="1"/>
        <v>7</v>
      </c>
      <c r="AH9" s="17"/>
      <c r="AI9" s="17">
        <f t="shared" si="2"/>
        <v>7</v>
      </c>
      <c r="AJ9" s="17">
        <f t="shared" si="3"/>
        <v>30</v>
      </c>
      <c r="AK9" s="19" t="str">
        <f t="shared" si="4"/>
        <v>Low Production</v>
      </c>
    </row>
    <row r="10" spans="1:37" ht="30" x14ac:dyDescent="0.25">
      <c r="A10" s="16" t="s">
        <v>23</v>
      </c>
      <c r="B10" s="17"/>
      <c r="C10" s="17"/>
      <c r="D10" s="17"/>
      <c r="E10" s="17"/>
      <c r="F10" s="17">
        <v>8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>
        <f t="shared" si="1"/>
        <v>8</v>
      </c>
      <c r="AH10" s="17"/>
      <c r="AI10" s="17">
        <f t="shared" si="2"/>
        <v>8</v>
      </c>
      <c r="AJ10" s="17">
        <f t="shared" si="3"/>
        <v>30</v>
      </c>
      <c r="AK10" s="19" t="str">
        <f t="shared" si="4"/>
        <v>Low Production</v>
      </c>
    </row>
    <row r="11" spans="1:37" ht="30" x14ac:dyDescent="0.25">
      <c r="A11" s="16" t="s">
        <v>24</v>
      </c>
      <c r="B11" s="17"/>
      <c r="C11" s="17">
        <v>9</v>
      </c>
      <c r="D11" s="17"/>
      <c r="E11" s="17"/>
      <c r="F11" s="17"/>
      <c r="G11" s="17"/>
      <c r="H11" s="17"/>
      <c r="I11" s="17"/>
      <c r="J11" s="17">
        <v>6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>
        <f t="shared" si="1"/>
        <v>15</v>
      </c>
      <c r="AH11" s="17">
        <v>3</v>
      </c>
      <c r="AI11" s="17">
        <f t="shared" si="2"/>
        <v>18</v>
      </c>
      <c r="AJ11" s="17">
        <f t="shared" si="3"/>
        <v>29</v>
      </c>
      <c r="AK11" s="19" t="str">
        <f t="shared" si="4"/>
        <v>Low Production</v>
      </c>
    </row>
    <row r="12" spans="1:37" x14ac:dyDescent="0.25">
      <c r="A12" s="20" t="s">
        <v>25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1">
        <f>SUM(AG4:AG11)</f>
        <v>1185</v>
      </c>
      <c r="AH12" s="21">
        <f>SUM(AH4:AH11)</f>
        <v>34</v>
      </c>
      <c r="AI12" s="21">
        <f>SUM(AI4:AI11)</f>
        <v>1219</v>
      </c>
      <c r="AJ12" s="21">
        <f>SUM(AJ4:AJ11)</f>
        <v>213</v>
      </c>
      <c r="AK12" s="21"/>
    </row>
  </sheetData>
  <mergeCells count="11">
    <mergeCell ref="AK1:AK3"/>
    <mergeCell ref="AG1:AG3"/>
    <mergeCell ref="AH1:AH3"/>
    <mergeCell ref="A12:AF12"/>
    <mergeCell ref="AI1:AI3"/>
    <mergeCell ref="AJ1:AJ3"/>
    <mergeCell ref="X1:AF1"/>
    <mergeCell ref="M1:P1"/>
    <mergeCell ref="Q1:U1"/>
    <mergeCell ref="A1:L1"/>
    <mergeCell ref="V1:W1"/>
  </mergeCells>
  <conditionalFormatting sqref="B2:AF2">
    <cfRule type="containsText" dxfId="0" priority="1" operator="containsText" text="S">
      <formula>NOT(ISERROR(SEARCH("S",B2)))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1F1C4E-9394-462A-8E06-E7145AF4BFE3}">
          <x14:formula1>
            <xm:f>month!$A$1:$A$13</xm:f>
          </x14:formula1>
          <xm:sqref>M1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2A569-7FAA-4516-ABAD-61ED4C424719}">
  <dimension ref="A1:B13"/>
  <sheetViews>
    <sheetView workbookViewId="0">
      <selection activeCell="H12" sqref="H12"/>
    </sheetView>
  </sheetViews>
  <sheetFormatPr defaultRowHeight="15" x14ac:dyDescent="0.25"/>
  <cols>
    <col min="1" max="1" width="10.85546875" bestFit="1" customWidth="1"/>
  </cols>
  <sheetData>
    <row r="1" spans="1:2" x14ac:dyDescent="0.25">
      <c r="A1" s="1" t="s">
        <v>2</v>
      </c>
      <c r="B1" s="1"/>
    </row>
    <row r="2" spans="1:2" x14ac:dyDescent="0.25">
      <c r="A2" s="1" t="s">
        <v>3</v>
      </c>
      <c r="B2" s="1"/>
    </row>
    <row r="3" spans="1:2" x14ac:dyDescent="0.25">
      <c r="A3" s="1" t="s">
        <v>4</v>
      </c>
      <c r="B3" s="1"/>
    </row>
    <row r="4" spans="1:2" x14ac:dyDescent="0.25">
      <c r="A4" s="1" t="s">
        <v>5</v>
      </c>
      <c r="B4" s="1"/>
    </row>
    <row r="5" spans="1:2" x14ac:dyDescent="0.25">
      <c r="A5" s="1" t="s">
        <v>6</v>
      </c>
      <c r="B5" s="1"/>
    </row>
    <row r="6" spans="1:2" x14ac:dyDescent="0.25">
      <c r="A6" s="1" t="s">
        <v>7</v>
      </c>
      <c r="B6" s="1"/>
    </row>
    <row r="7" spans="1:2" x14ac:dyDescent="0.25">
      <c r="A7" s="1" t="s">
        <v>8</v>
      </c>
      <c r="B7" s="1"/>
    </row>
    <row r="8" spans="1:2" x14ac:dyDescent="0.25">
      <c r="A8" s="1" t="s">
        <v>9</v>
      </c>
      <c r="B8" s="1"/>
    </row>
    <row r="9" spans="1:2" x14ac:dyDescent="0.25">
      <c r="A9" s="1" t="s">
        <v>10</v>
      </c>
      <c r="B9" s="1"/>
    </row>
    <row r="10" spans="1:2" x14ac:dyDescent="0.25">
      <c r="A10" s="1" t="s">
        <v>11</v>
      </c>
      <c r="B10" s="1"/>
    </row>
    <row r="11" spans="1:2" x14ac:dyDescent="0.25">
      <c r="A11" s="1" t="s">
        <v>12</v>
      </c>
      <c r="B11" s="1"/>
    </row>
    <row r="12" spans="1:2" x14ac:dyDescent="0.25">
      <c r="A12" s="1" t="s">
        <v>13</v>
      </c>
      <c r="B12" s="1"/>
    </row>
    <row r="13" spans="1:2" x14ac:dyDescent="0.25">
      <c r="A13" s="1" t="s">
        <v>14</v>
      </c>
      <c r="B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month</vt:lpstr>
      <vt:lpstr>Months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2026-06-19T07:46:59Z</dcterms:created>
  <dcterms:modified xsi:type="dcterms:W3CDTF">2026-06-22T09:09:03Z</dcterms:modified>
</cp:coreProperties>
</file>